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66372560-E160-49DB-8462-AFAC1CDB02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  <sheet name="Egg x Me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" l="1"/>
  <c r="R5" i="2"/>
  <c r="J12" i="2"/>
  <c r="P6" i="2" s="1"/>
  <c r="J13" i="2"/>
  <c r="Q6" i="2" s="1"/>
  <c r="J14" i="2"/>
  <c r="R6" i="2" s="1"/>
  <c r="H4" i="2"/>
  <c r="I4" i="2"/>
  <c r="H5" i="2"/>
  <c r="I5" i="2"/>
  <c r="H6" i="2"/>
  <c r="I6" i="2"/>
  <c r="H7" i="2"/>
  <c r="I7" i="2"/>
  <c r="H8" i="2"/>
  <c r="J8" i="2" s="1"/>
  <c r="P5" i="2" s="1"/>
  <c r="I8" i="2"/>
  <c r="H9" i="2"/>
  <c r="J9" i="2" s="1"/>
  <c r="Q5" i="2" s="1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3" i="2"/>
  <c r="I3" i="2"/>
  <c r="G4" i="2"/>
  <c r="J4" i="2" s="1"/>
  <c r="P4" i="2" s="1"/>
  <c r="G5" i="2"/>
  <c r="J5" i="2" s="1"/>
  <c r="Q4" i="2" s="1"/>
  <c r="G6" i="2"/>
  <c r="J6" i="2" s="1"/>
  <c r="R4" i="2" s="1"/>
  <c r="G7" i="2"/>
  <c r="J7" i="2" s="1"/>
  <c r="O5" i="2" s="1"/>
  <c r="G8" i="2"/>
  <c r="G9" i="2"/>
  <c r="G10" i="2"/>
  <c r="J10" i="2" s="1"/>
  <c r="G11" i="2"/>
  <c r="J11" i="2" s="1"/>
  <c r="G12" i="2"/>
  <c r="G13" i="2"/>
  <c r="G14" i="2"/>
  <c r="G15" i="2"/>
  <c r="G16" i="2"/>
  <c r="J16" i="2" s="1"/>
  <c r="P7" i="2" s="1"/>
  <c r="G17" i="2"/>
  <c r="J17" i="2" s="1"/>
  <c r="Q7" i="2" s="1"/>
  <c r="G18" i="2"/>
  <c r="J18" i="2" s="1"/>
  <c r="R7" i="2" s="1"/>
  <c r="G3" i="2"/>
  <c r="J3" i="2" s="1"/>
  <c r="O4" i="2" s="1"/>
  <c r="J15" i="2" l="1"/>
  <c r="O7" i="2" s="1"/>
</calcChain>
</file>

<file path=xl/sharedStrings.xml><?xml version="1.0" encoding="utf-8"?>
<sst xmlns="http://schemas.openxmlformats.org/spreadsheetml/2006/main" count="685" uniqueCount="176">
  <si>
    <t xml:space="preserve">
</t>
  </si>
  <si>
    <t xml:space="preserve">Variable
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</si>
  <si>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</si>
  <si>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</si>
  <si>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</si>
  <si>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</si>
  <si>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</si>
  <si>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</si>
  <si>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</si>
  <si>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</si>
  <si>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</si>
  <si>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</si>
  <si>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</si>
  <si>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</si>
  <si>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</si>
  <si>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</si>
  <si>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</si>
  <si>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</si>
  <si>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</si>
  <si>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</si>
  <si>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</si>
  <si>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</si>
  <si>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None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</si>
  <si>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</si>
  <si>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</si>
  <si>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</si>
  <si>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</si>
  <si>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</si>
  <si>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</si>
  <si>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</si>
  <si>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</si>
  <si>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</si>
  <si>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</si>
  <si>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</si>
  <si>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</si>
  <si>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</si>
  <si>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</si>
  <si>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</si>
  <si>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</si>
  <si>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</si>
  <si>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</si>
  <si>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</si>
  <si>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</si>
  <si>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</si>
  <si>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</si>
  <si>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</si>
  <si>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</si>
  <si>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</si>
  <si>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</si>
  <si>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</si>
  <si>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</si>
  <si>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</si>
  <si>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</si>
  <si>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</si>
  <si>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</si>
  <si>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</si>
  <si>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</si>
  <si>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</si>
  <si>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</si>
  <si>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</si>
  <si>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</si>
  <si>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</si>
  <si>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</si>
  <si>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</si>
  <si>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</si>
  <si>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</si>
  <si>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</si>
  <si>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1.23, 1.33</t>
  </si>
  <si>
    <t>0.70, 0.78</t>
  </si>
  <si>
    <t>0.66, 0.77</t>
  </si>
  <si>
    <t>1.11, 1.36</t>
  </si>
  <si>
    <t>1.00, 1.09</t>
  </si>
  <si>
    <t>0.88, 0.97</t>
  </si>
  <si>
    <t>0.90, 0.98</t>
  </si>
  <si>
    <t>1.09, 1.18</t>
  </si>
  <si>
    <t>1.51, 1.66</t>
  </si>
  <si>
    <t>0.89, 0.98</t>
  </si>
  <si>
    <t>0.87, 0.97</t>
  </si>
  <si>
    <t>0.85, 0.94</t>
  </si>
  <si>
    <t>1.13, 1.28</t>
  </si>
  <si>
    <t>1.03, 1.14</t>
  </si>
  <si>
    <t>1.03, 1.13</t>
  </si>
  <si>
    <t>1.05, 1.22</t>
  </si>
  <si>
    <t>0.89, 1.00</t>
  </si>
  <si>
    <t>1.12, 1.32</t>
  </si>
  <si>
    <t>1.19, 1.45</t>
  </si>
  <si>
    <t>1.32, 1.82</t>
  </si>
  <si>
    <t>1.53, 1.98</t>
  </si>
  <si>
    <t>0.91, 1.08</t>
  </si>
  <si>
    <t>1.00, 1.00</t>
  </si>
  <si>
    <t xml:space="preserve">p
</t>
  </si>
  <si>
    <t>&lt;0.001</t>
  </si>
  <si>
    <t xml:space="preserve">Model 2
</t>
  </si>
  <si>
    <t>0.69, 0.77</t>
  </si>
  <si>
    <t>0.65, 0.77</t>
  </si>
  <si>
    <t>0.87, 0.96</t>
  </si>
  <si>
    <t>0.89, 0.97</t>
  </si>
  <si>
    <t>1.08, 1.18</t>
  </si>
  <si>
    <t>1.48, 1.63</t>
  </si>
  <si>
    <t>0.89, 0.99</t>
  </si>
  <si>
    <t>0.86, 0.95</t>
  </si>
  <si>
    <t>0.88, 0.99</t>
  </si>
  <si>
    <t>1.10, 1.30</t>
  </si>
  <si>
    <t>1.16, 1.41</t>
  </si>
  <si>
    <t>1.28, 1.77</t>
  </si>
  <si>
    <t>1.48, 1.91</t>
  </si>
  <si>
    <t>0.88, 1.05</t>
  </si>
  <si>
    <t>0.82, 1.06</t>
  </si>
  <si>
    <t>0.98, 1.00</t>
  </si>
  <si>
    <t>1.00, 1.02</t>
  </si>
  <si>
    <t>0.99, 1.02</t>
  </si>
  <si>
    <t>0.99, 1.01</t>
  </si>
  <si>
    <t>0.86, 1.03</t>
  </si>
  <si>
    <t>0.98, 1.04</t>
  </si>
  <si>
    <t xml:space="preserve">Model 3
</t>
  </si>
  <si>
    <t>0.72, 0.81</t>
  </si>
  <si>
    <t>0.69, 0.82</t>
  </si>
  <si>
    <t>1.04, 1.28</t>
  </si>
  <si>
    <t>0.94, 1.03</t>
  </si>
  <si>
    <t>0.84, 0.93</t>
  </si>
  <si>
    <t>0.90, 0.97</t>
  </si>
  <si>
    <t>1.09, 1.19</t>
  </si>
  <si>
    <t>1.52, 1.68</t>
  </si>
  <si>
    <t>0.94, 1.05</t>
  </si>
  <si>
    <t>0.93, 1.03</t>
  </si>
  <si>
    <t>0.91, 1.00</t>
  </si>
  <si>
    <t>1.13, 1.29</t>
  </si>
  <si>
    <t>1.02, 1.11</t>
  </si>
  <si>
    <t>1.01, 1.17</t>
  </si>
  <si>
    <t>0.87, 0.98</t>
  </si>
  <si>
    <t>1.11, 1.32</t>
  </si>
  <si>
    <t>1.18, 1.44</t>
  </si>
  <si>
    <t>1.26, 1.75</t>
  </si>
  <si>
    <t>1.49, 1.93</t>
  </si>
  <si>
    <t>0.92, 1.10</t>
  </si>
  <si>
    <t>0.84, 1.08</t>
  </si>
  <si>
    <t>0.82, 0.99</t>
  </si>
  <si>
    <t>1.00, 1.05</t>
  </si>
  <si>
    <t>0.99, 1.29</t>
  </si>
  <si>
    <t>1.88, 2.14</t>
  </si>
  <si>
    <t>1.34, 1.65</t>
  </si>
  <si>
    <t>1.16, 1.35</t>
  </si>
  <si>
    <t>1.16, 1.48</t>
  </si>
  <si>
    <t>1.18, 1.40</t>
  </si>
  <si>
    <t>1.02, 1.58</t>
  </si>
  <si>
    <t>1.13, 1.37</t>
  </si>
  <si>
    <t>1.05, 1.33</t>
  </si>
  <si>
    <t>Exposure: Egg g/d, 5 groups</t>
  </si>
  <si>
    <t>Results based on the first imputed data (not pooled)</t>
  </si>
  <si>
    <t>Outcome: Any of acute MI, CHF, IHD stroke/TIA, or atrial fibrosis</t>
  </si>
  <si>
    <t>HRs for egg and meat not shown, as there was a significant interaction between egg and meat (p = 0.034)</t>
  </si>
  <si>
    <t>Meat</t>
  </si>
  <si>
    <t>Egg</t>
  </si>
  <si>
    <t>HR</t>
  </si>
  <si>
    <t>Lower</t>
  </si>
  <si>
    <t>Upper</t>
  </si>
  <si>
    <t>0 g/d</t>
  </si>
  <si>
    <t>&lt;4 g/d</t>
  </si>
  <si>
    <t>4-&lt;10 g/d</t>
  </si>
  <si>
    <t>10-&lt;23 g/d</t>
  </si>
  <si>
    <t>23+ g/d</t>
  </si>
  <si>
    <t>10 g/d</t>
  </si>
  <si>
    <t>30 g/d</t>
  </si>
  <si>
    <t>100 g/d</t>
  </si>
  <si>
    <t>101 g/d</t>
  </si>
  <si>
    <t>102 g/d</t>
  </si>
  <si>
    <t>103 g/d</t>
  </si>
  <si>
    <t>Meat intake (gram/day)</t>
  </si>
  <si>
    <t>Egg intake (gram/day)</t>
  </si>
  <si>
    <t>&lt;4</t>
  </si>
  <si>
    <t>4-&lt;10</t>
  </si>
  <si>
    <t>10-&lt;23</t>
  </si>
  <si>
    <t>23+</t>
  </si>
  <si>
    <t>None</t>
  </si>
  <si>
    <t>1.00 (Ref)</t>
  </si>
  <si>
    <t>Hazard ratio for egg intake at various meat 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</si>
</sst>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zoomScale="130" zoomScaleNormal="130" workbookViewId="0"/>
  </sheetViews>
  <sheetFormatPr defaultColWidth="11.5546875" defaultRowHeight="14.4" x14ac:dyDescent="0.3"/>
  <cols>
    <col min="1" max="1" width="30" style="11" bestFit="1" customWidth="1"/>
    <col min="2" max="2" width="10.6640625" style="16" customWidth="1"/>
    <col min="3" max="3" width="10.6640625" customWidth="1"/>
    <col min="4" max="4" width="10.6640625" style="21" customWidth="1"/>
    <col min="5" max="5" width="10.6640625" style="16" customWidth="1"/>
    <col min="6" max="6" width="10.6640625" customWidth="1"/>
    <col min="7" max="7" width="10.6640625" style="21" customWidth="1"/>
    <col min="8" max="8" width="10.6640625" style="16" customWidth="1"/>
    <col min="9" max="9" width="10.6640625" customWidth="1"/>
    <col min="10" max="10" width="10.6640625" style="21" customWidth="1"/>
  </cols>
  <sheetData>
    <row r="1" spans="1:10" x14ac:dyDescent="0.3">
      <c r="A1" s="22" t="s">
        <v>149</v>
      </c>
    </row>
    <row r="2" spans="1:10" x14ac:dyDescent="0.3">
      <c r="A2" s="22" t="s">
        <v>147</v>
      </c>
    </row>
    <row r="3" spans="1:10" x14ac:dyDescent="0.3">
      <c r="A3" s="22" t="s">
        <v>148</v>
      </c>
    </row>
    <row r="4" spans="1:10" x14ac:dyDescent="0.3">
      <c r="A4" s="22" t="s">
        <v>150</v>
      </c>
    </row>
    <row r="6" spans="1:10" ht="15" customHeight="1" x14ac:dyDescent="0.3">
      <c r="A6" s="7" t="s">
        <v>0</v>
      </c>
      <c r="B6" s="6" t="s">
        <v>62</v>
      </c>
      <c r="C6" s="6" t="s">
        <v>62</v>
      </c>
      <c r="D6" s="6" t="s">
        <v>62</v>
      </c>
      <c r="E6" s="6" t="s">
        <v>92</v>
      </c>
      <c r="F6" s="6" t="s">
        <v>92</v>
      </c>
      <c r="G6" s="6" t="s">
        <v>92</v>
      </c>
      <c r="H6" s="6" t="s">
        <v>114</v>
      </c>
      <c r="I6" s="6" t="s">
        <v>114</v>
      </c>
      <c r="J6" s="6" t="s">
        <v>114</v>
      </c>
    </row>
    <row r="7" spans="1:10" ht="15" customHeight="1" x14ac:dyDescent="0.3">
      <c r="A7" s="8" t="s">
        <v>1</v>
      </c>
      <c r="B7" s="12" t="s">
        <v>63</v>
      </c>
      <c r="C7" s="1" t="s">
        <v>65</v>
      </c>
      <c r="D7" s="17" t="s">
        <v>90</v>
      </c>
      <c r="E7" s="12" t="s">
        <v>63</v>
      </c>
      <c r="F7" s="1" t="s">
        <v>65</v>
      </c>
      <c r="G7" s="17" t="s">
        <v>90</v>
      </c>
      <c r="H7" s="12" t="s">
        <v>63</v>
      </c>
      <c r="I7" s="1" t="s">
        <v>65</v>
      </c>
      <c r="J7" s="17" t="s">
        <v>90</v>
      </c>
    </row>
    <row r="8" spans="1:10" ht="15" customHeight="1" x14ac:dyDescent="0.3">
      <c r="A8" s="9" t="s">
        <v>2</v>
      </c>
      <c r="B8" s="13" t="s">
        <v>64</v>
      </c>
      <c r="C8" s="2" t="s">
        <v>64</v>
      </c>
      <c r="D8" s="18" t="s">
        <v>91</v>
      </c>
      <c r="E8" s="13" t="s">
        <v>64</v>
      </c>
      <c r="F8" s="2" t="s">
        <v>64</v>
      </c>
      <c r="G8" s="18" t="s">
        <v>91</v>
      </c>
      <c r="H8" s="13" t="s">
        <v>64</v>
      </c>
      <c r="I8" s="2" t="s">
        <v>64</v>
      </c>
      <c r="J8" s="18" t="s">
        <v>91</v>
      </c>
    </row>
    <row r="9" spans="1:10" ht="15" customHeight="1" x14ac:dyDescent="0.3">
      <c r="A9" s="7" t="s">
        <v>3</v>
      </c>
      <c r="B9" s="14">
        <v>1</v>
      </c>
      <c r="C9" s="3" t="s">
        <v>66</v>
      </c>
      <c r="D9" s="19" t="s">
        <v>64</v>
      </c>
      <c r="E9" s="14">
        <v>1</v>
      </c>
      <c r="F9" s="3" t="s">
        <v>66</v>
      </c>
      <c r="G9" s="19" t="s">
        <v>64</v>
      </c>
      <c r="H9" s="14">
        <v>1</v>
      </c>
      <c r="I9" s="3" t="s">
        <v>66</v>
      </c>
      <c r="J9" s="19" t="s">
        <v>64</v>
      </c>
    </row>
    <row r="10" spans="1:10" ht="15" customHeight="1" x14ac:dyDescent="0.3">
      <c r="A10" s="7" t="s">
        <v>4</v>
      </c>
      <c r="B10" s="14">
        <v>1.28</v>
      </c>
      <c r="C10" s="3" t="s">
        <v>67</v>
      </c>
      <c r="D10" s="19" t="s">
        <v>64</v>
      </c>
      <c r="E10" s="14">
        <v>1.28</v>
      </c>
      <c r="F10" s="3" t="s">
        <v>67</v>
      </c>
      <c r="G10" s="19" t="s">
        <v>64</v>
      </c>
      <c r="H10" s="14">
        <v>1.28</v>
      </c>
      <c r="I10" s="3" t="s">
        <v>67</v>
      </c>
      <c r="J10" s="19" t="s">
        <v>64</v>
      </c>
    </row>
    <row r="11" spans="1:10" ht="15" customHeight="1" x14ac:dyDescent="0.3">
      <c r="A11" s="7" t="s">
        <v>5</v>
      </c>
      <c r="B11" s="14" t="s">
        <v>64</v>
      </c>
      <c r="C11" s="3" t="s">
        <v>64</v>
      </c>
      <c r="D11" s="19" t="s">
        <v>91</v>
      </c>
      <c r="E11" s="14" t="s">
        <v>64</v>
      </c>
      <c r="F11" s="3" t="s">
        <v>64</v>
      </c>
      <c r="G11" s="19" t="s">
        <v>91</v>
      </c>
      <c r="H11" s="14" t="s">
        <v>64</v>
      </c>
      <c r="I11" s="3" t="s">
        <v>64</v>
      </c>
      <c r="J11" s="19" t="s">
        <v>91</v>
      </c>
    </row>
    <row r="12" spans="1:10" ht="15" customHeight="1" x14ac:dyDescent="0.3">
      <c r="A12" s="7" t="s">
        <v>6</v>
      </c>
      <c r="B12" s="14">
        <v>1</v>
      </c>
      <c r="C12" s="3" t="s">
        <v>66</v>
      </c>
      <c r="D12" s="19" t="s">
        <v>64</v>
      </c>
      <c r="E12" s="14">
        <v>1</v>
      </c>
      <c r="F12" s="3" t="s">
        <v>66</v>
      </c>
      <c r="G12" s="19" t="s">
        <v>64</v>
      </c>
      <c r="H12" s="14">
        <v>1</v>
      </c>
      <c r="I12" s="3" t="s">
        <v>66</v>
      </c>
      <c r="J12" s="19" t="s">
        <v>64</v>
      </c>
    </row>
    <row r="13" spans="1:10" ht="15" customHeight="1" x14ac:dyDescent="0.3">
      <c r="A13" s="7" t="s">
        <v>7</v>
      </c>
      <c r="B13" s="14">
        <v>0.74</v>
      </c>
      <c r="C13" s="3" t="s">
        <v>68</v>
      </c>
      <c r="D13" s="19" t="s">
        <v>64</v>
      </c>
      <c r="E13" s="14">
        <v>0.73</v>
      </c>
      <c r="F13" s="3" t="s">
        <v>93</v>
      </c>
      <c r="G13" s="19" t="s">
        <v>64</v>
      </c>
      <c r="H13" s="14">
        <v>0.76</v>
      </c>
      <c r="I13" s="3" t="s">
        <v>115</v>
      </c>
      <c r="J13" s="19" t="s">
        <v>64</v>
      </c>
    </row>
    <row r="14" spans="1:10" ht="15" customHeight="1" x14ac:dyDescent="0.3">
      <c r="A14" s="7" t="s">
        <v>8</v>
      </c>
      <c r="B14" s="14">
        <v>0.71</v>
      </c>
      <c r="C14" s="3" t="s">
        <v>69</v>
      </c>
      <c r="D14" s="19" t="s">
        <v>64</v>
      </c>
      <c r="E14" s="14">
        <v>0.71</v>
      </c>
      <c r="F14" s="3" t="s">
        <v>94</v>
      </c>
      <c r="G14" s="19" t="s">
        <v>64</v>
      </c>
      <c r="H14" s="14">
        <v>0.75</v>
      </c>
      <c r="I14" s="3" t="s">
        <v>116</v>
      </c>
      <c r="J14" s="19" t="s">
        <v>64</v>
      </c>
    </row>
    <row r="15" spans="1:10" ht="15" customHeight="1" x14ac:dyDescent="0.3">
      <c r="A15" s="7" t="s">
        <v>9</v>
      </c>
      <c r="B15" s="14" t="s">
        <v>64</v>
      </c>
      <c r="C15" s="3" t="s">
        <v>64</v>
      </c>
      <c r="D15" s="19" t="s">
        <v>91</v>
      </c>
      <c r="E15" s="14" t="s">
        <v>64</v>
      </c>
      <c r="F15" s="3" t="s">
        <v>64</v>
      </c>
      <c r="G15" s="19" t="s">
        <v>91</v>
      </c>
      <c r="H15" s="14" t="s">
        <v>64</v>
      </c>
      <c r="I15" s="3" t="s">
        <v>64</v>
      </c>
      <c r="J15" s="19">
        <v>1.4999999999999999E-2</v>
      </c>
    </row>
    <row r="16" spans="1:10" ht="15" customHeight="1" x14ac:dyDescent="0.3">
      <c r="A16" s="7" t="s">
        <v>10</v>
      </c>
      <c r="B16" s="14">
        <v>1</v>
      </c>
      <c r="C16" s="3" t="s">
        <v>66</v>
      </c>
      <c r="D16" s="19" t="s">
        <v>64</v>
      </c>
      <c r="E16" s="14">
        <v>1</v>
      </c>
      <c r="F16" s="3" t="s">
        <v>66</v>
      </c>
      <c r="G16" s="19" t="s">
        <v>64</v>
      </c>
      <c r="H16" s="14">
        <v>1</v>
      </c>
      <c r="I16" s="3" t="s">
        <v>66</v>
      </c>
      <c r="J16" s="19" t="s">
        <v>64</v>
      </c>
    </row>
    <row r="17" spans="1:10" ht="15" customHeight="1" x14ac:dyDescent="0.3">
      <c r="A17" s="7" t="s">
        <v>11</v>
      </c>
      <c r="B17" s="14">
        <v>1.23</v>
      </c>
      <c r="C17" s="3" t="s">
        <v>70</v>
      </c>
      <c r="D17" s="19" t="s">
        <v>64</v>
      </c>
      <c r="E17" s="14">
        <v>1.23</v>
      </c>
      <c r="F17" s="3" t="s">
        <v>70</v>
      </c>
      <c r="G17" s="19" t="s">
        <v>64</v>
      </c>
      <c r="H17" s="14">
        <v>1.1599999999999999</v>
      </c>
      <c r="I17" s="3" t="s">
        <v>117</v>
      </c>
      <c r="J17" s="19" t="s">
        <v>64</v>
      </c>
    </row>
    <row r="18" spans="1:10" ht="15" customHeight="1" x14ac:dyDescent="0.3">
      <c r="A18" s="7" t="s">
        <v>12</v>
      </c>
      <c r="B18" s="14">
        <v>1.04</v>
      </c>
      <c r="C18" s="3" t="s">
        <v>71</v>
      </c>
      <c r="D18" s="19" t="s">
        <v>64</v>
      </c>
      <c r="E18" s="14">
        <v>1.04</v>
      </c>
      <c r="F18" s="3" t="s">
        <v>71</v>
      </c>
      <c r="G18" s="19" t="s">
        <v>64</v>
      </c>
      <c r="H18" s="14">
        <v>0.99</v>
      </c>
      <c r="I18" s="3" t="s">
        <v>118</v>
      </c>
      <c r="J18" s="19" t="s">
        <v>64</v>
      </c>
    </row>
    <row r="19" spans="1:10" ht="15" customHeight="1" x14ac:dyDescent="0.3">
      <c r="A19" s="7" t="s">
        <v>13</v>
      </c>
      <c r="B19" s="14" t="s">
        <v>64</v>
      </c>
      <c r="C19" s="3" t="s">
        <v>64</v>
      </c>
      <c r="D19" s="19">
        <v>1E-3</v>
      </c>
      <c r="E19" s="14" t="s">
        <v>64</v>
      </c>
      <c r="F19" s="3" t="s">
        <v>64</v>
      </c>
      <c r="G19" s="19" t="s">
        <v>91</v>
      </c>
      <c r="H19" s="14" t="s">
        <v>64</v>
      </c>
      <c r="I19" s="3" t="s">
        <v>64</v>
      </c>
      <c r="J19" s="19" t="s">
        <v>91</v>
      </c>
    </row>
    <row r="20" spans="1:10" ht="15" customHeight="1" x14ac:dyDescent="0.3">
      <c r="A20" s="7" t="s">
        <v>14</v>
      </c>
      <c r="B20" s="14">
        <v>1</v>
      </c>
      <c r="C20" s="3" t="s">
        <v>66</v>
      </c>
      <c r="D20" s="19" t="s">
        <v>64</v>
      </c>
      <c r="E20" s="14">
        <v>1</v>
      </c>
      <c r="F20" s="3" t="s">
        <v>66</v>
      </c>
      <c r="G20" s="19" t="s">
        <v>64</v>
      </c>
      <c r="H20" s="14">
        <v>1</v>
      </c>
      <c r="I20" s="3" t="s">
        <v>66</v>
      </c>
      <c r="J20" s="19" t="s">
        <v>64</v>
      </c>
    </row>
    <row r="21" spans="1:10" ht="15" customHeight="1" x14ac:dyDescent="0.3">
      <c r="A21" s="7" t="s">
        <v>15</v>
      </c>
      <c r="B21" s="14">
        <v>0.92</v>
      </c>
      <c r="C21" s="3" t="s">
        <v>72</v>
      </c>
      <c r="D21" s="19" t="s">
        <v>64</v>
      </c>
      <c r="E21" s="14">
        <v>0.91</v>
      </c>
      <c r="F21" s="3" t="s">
        <v>95</v>
      </c>
      <c r="G21" s="19" t="s">
        <v>64</v>
      </c>
      <c r="H21" s="14">
        <v>0.88</v>
      </c>
      <c r="I21" s="3" t="s">
        <v>119</v>
      </c>
      <c r="J21" s="19" t="s">
        <v>64</v>
      </c>
    </row>
    <row r="22" spans="1:10" ht="15" customHeight="1" x14ac:dyDescent="0.3">
      <c r="A22" s="7" t="s">
        <v>16</v>
      </c>
      <c r="B22" s="14">
        <v>0.94</v>
      </c>
      <c r="C22" s="3" t="s">
        <v>73</v>
      </c>
      <c r="D22" s="19" t="s">
        <v>64</v>
      </c>
      <c r="E22" s="14">
        <v>0.93</v>
      </c>
      <c r="F22" s="3" t="s">
        <v>96</v>
      </c>
      <c r="G22" s="19" t="s">
        <v>64</v>
      </c>
      <c r="H22" s="14">
        <v>0.93</v>
      </c>
      <c r="I22" s="3" t="s">
        <v>120</v>
      </c>
      <c r="J22" s="19" t="s">
        <v>64</v>
      </c>
    </row>
    <row r="23" spans="1:10" ht="15" customHeight="1" x14ac:dyDescent="0.3">
      <c r="A23" s="7" t="s">
        <v>17</v>
      </c>
      <c r="B23" s="14" t="s">
        <v>64</v>
      </c>
      <c r="C23" s="3" t="s">
        <v>64</v>
      </c>
      <c r="D23" s="19" t="s">
        <v>91</v>
      </c>
      <c r="E23" s="14" t="s">
        <v>64</v>
      </c>
      <c r="F23" s="3" t="s">
        <v>64</v>
      </c>
      <c r="G23" s="19" t="s">
        <v>91</v>
      </c>
      <c r="H23" s="14" t="s">
        <v>64</v>
      </c>
      <c r="I23" s="3" t="s">
        <v>64</v>
      </c>
      <c r="J23" s="19" t="s">
        <v>91</v>
      </c>
    </row>
    <row r="24" spans="1:10" ht="15" customHeight="1" x14ac:dyDescent="0.3">
      <c r="A24" s="7" t="s">
        <v>18</v>
      </c>
      <c r="B24" s="14">
        <v>1</v>
      </c>
      <c r="C24" s="3" t="s">
        <v>66</v>
      </c>
      <c r="D24" s="19" t="s">
        <v>64</v>
      </c>
      <c r="E24" s="14">
        <v>1</v>
      </c>
      <c r="F24" s="3" t="s">
        <v>66</v>
      </c>
      <c r="G24" s="19" t="s">
        <v>64</v>
      </c>
      <c r="H24" s="14">
        <v>1</v>
      </c>
      <c r="I24" s="3" t="s">
        <v>66</v>
      </c>
      <c r="J24" s="19" t="s">
        <v>64</v>
      </c>
    </row>
    <row r="25" spans="1:10" ht="15" customHeight="1" x14ac:dyDescent="0.3">
      <c r="A25" s="7" t="s">
        <v>19</v>
      </c>
      <c r="B25" s="14">
        <v>1.1399999999999999</v>
      </c>
      <c r="C25" s="3" t="s">
        <v>74</v>
      </c>
      <c r="D25" s="19" t="s">
        <v>64</v>
      </c>
      <c r="E25" s="14">
        <v>1.1299999999999999</v>
      </c>
      <c r="F25" s="3" t="s">
        <v>97</v>
      </c>
      <c r="G25" s="19" t="s">
        <v>64</v>
      </c>
      <c r="H25" s="14">
        <v>1.1399999999999999</v>
      </c>
      <c r="I25" s="3" t="s">
        <v>121</v>
      </c>
      <c r="J25" s="19" t="s">
        <v>64</v>
      </c>
    </row>
    <row r="26" spans="1:10" ht="15" customHeight="1" x14ac:dyDescent="0.3">
      <c r="A26" s="7" t="s">
        <v>20</v>
      </c>
      <c r="B26" s="14">
        <v>1.59</v>
      </c>
      <c r="C26" s="3" t="s">
        <v>75</v>
      </c>
      <c r="D26" s="19" t="s">
        <v>64</v>
      </c>
      <c r="E26" s="14">
        <v>1.56</v>
      </c>
      <c r="F26" s="3" t="s">
        <v>98</v>
      </c>
      <c r="G26" s="19" t="s">
        <v>64</v>
      </c>
      <c r="H26" s="14">
        <v>1.6</v>
      </c>
      <c r="I26" s="3" t="s">
        <v>122</v>
      </c>
      <c r="J26" s="19" t="s">
        <v>64</v>
      </c>
    </row>
    <row r="27" spans="1:10" ht="15" customHeight="1" x14ac:dyDescent="0.3">
      <c r="A27" s="7" t="s">
        <v>21</v>
      </c>
      <c r="B27" s="14" t="s">
        <v>64</v>
      </c>
      <c r="C27" s="3" t="s">
        <v>64</v>
      </c>
      <c r="D27" s="19" t="s">
        <v>91</v>
      </c>
      <c r="E27" s="14" t="s">
        <v>64</v>
      </c>
      <c r="F27" s="3" t="s">
        <v>64</v>
      </c>
      <c r="G27" s="19" t="s">
        <v>91</v>
      </c>
      <c r="H27" s="14" t="s">
        <v>64</v>
      </c>
      <c r="I27" s="3" t="s">
        <v>64</v>
      </c>
      <c r="J27" s="19">
        <v>0.26600000000000001</v>
      </c>
    </row>
    <row r="28" spans="1:10" ht="15" customHeight="1" x14ac:dyDescent="0.3">
      <c r="A28" s="7" t="s">
        <v>22</v>
      </c>
      <c r="B28" s="14">
        <v>1</v>
      </c>
      <c r="C28" s="3" t="s">
        <v>66</v>
      </c>
      <c r="D28" s="19" t="s">
        <v>64</v>
      </c>
      <c r="E28" s="14">
        <v>1</v>
      </c>
      <c r="F28" s="3" t="s">
        <v>66</v>
      </c>
      <c r="G28" s="19" t="s">
        <v>64</v>
      </c>
      <c r="H28" s="14">
        <v>1</v>
      </c>
      <c r="I28" s="3" t="s">
        <v>66</v>
      </c>
      <c r="J28" s="19" t="s">
        <v>64</v>
      </c>
    </row>
    <row r="29" spans="1:10" ht="15" customHeight="1" x14ac:dyDescent="0.3">
      <c r="A29" s="7" t="s">
        <v>23</v>
      </c>
      <c r="B29" s="14">
        <v>0.94</v>
      </c>
      <c r="C29" s="3" t="s">
        <v>76</v>
      </c>
      <c r="D29" s="19" t="s">
        <v>64</v>
      </c>
      <c r="E29" s="14">
        <v>0.94</v>
      </c>
      <c r="F29" s="3" t="s">
        <v>99</v>
      </c>
      <c r="G29" s="19" t="s">
        <v>64</v>
      </c>
      <c r="H29" s="14">
        <v>0.99</v>
      </c>
      <c r="I29" s="3" t="s">
        <v>123</v>
      </c>
      <c r="J29" s="19" t="s">
        <v>64</v>
      </c>
    </row>
    <row r="30" spans="1:10" ht="15" customHeight="1" x14ac:dyDescent="0.3">
      <c r="A30" s="7" t="s">
        <v>24</v>
      </c>
      <c r="B30" s="14">
        <v>0.92</v>
      </c>
      <c r="C30" s="3" t="s">
        <v>77</v>
      </c>
      <c r="D30" s="19" t="s">
        <v>64</v>
      </c>
      <c r="E30" s="14">
        <v>0.92</v>
      </c>
      <c r="F30" s="3" t="s">
        <v>72</v>
      </c>
      <c r="G30" s="19" t="s">
        <v>64</v>
      </c>
      <c r="H30" s="14">
        <v>0.98</v>
      </c>
      <c r="I30" s="3" t="s">
        <v>124</v>
      </c>
      <c r="J30" s="19" t="s">
        <v>64</v>
      </c>
    </row>
    <row r="31" spans="1:10" ht="15" customHeight="1" x14ac:dyDescent="0.3">
      <c r="A31" s="7" t="s">
        <v>25</v>
      </c>
      <c r="B31" s="14">
        <v>0.9</v>
      </c>
      <c r="C31" s="3" t="s">
        <v>78</v>
      </c>
      <c r="D31" s="19" t="s">
        <v>64</v>
      </c>
      <c r="E31" s="14">
        <v>0.9</v>
      </c>
      <c r="F31" s="3" t="s">
        <v>100</v>
      </c>
      <c r="G31" s="19" t="s">
        <v>64</v>
      </c>
      <c r="H31" s="14">
        <v>0.95</v>
      </c>
      <c r="I31" s="3" t="s">
        <v>125</v>
      </c>
      <c r="J31" s="19" t="s">
        <v>64</v>
      </c>
    </row>
    <row r="32" spans="1:10" ht="15" customHeight="1" x14ac:dyDescent="0.3">
      <c r="A32" s="7" t="s">
        <v>26</v>
      </c>
      <c r="B32" s="14" t="s">
        <v>64</v>
      </c>
      <c r="C32" s="3" t="s">
        <v>64</v>
      </c>
      <c r="D32" s="19" t="s">
        <v>91</v>
      </c>
      <c r="E32" s="14" t="s">
        <v>64</v>
      </c>
      <c r="F32" s="3" t="s">
        <v>64</v>
      </c>
      <c r="G32" s="19" t="s">
        <v>91</v>
      </c>
      <c r="H32" s="14" t="s">
        <v>64</v>
      </c>
      <c r="I32" s="3" t="s">
        <v>64</v>
      </c>
      <c r="J32" s="19" t="s">
        <v>91</v>
      </c>
    </row>
    <row r="33" spans="1:10" ht="15" customHeight="1" x14ac:dyDescent="0.3">
      <c r="A33" s="7" t="s">
        <v>27</v>
      </c>
      <c r="B33" s="14">
        <v>1</v>
      </c>
      <c r="C33" s="3" t="s">
        <v>66</v>
      </c>
      <c r="D33" s="19" t="s">
        <v>64</v>
      </c>
      <c r="E33" s="14">
        <v>1</v>
      </c>
      <c r="F33" s="3" t="s">
        <v>66</v>
      </c>
      <c r="G33" s="19" t="s">
        <v>64</v>
      </c>
      <c r="H33" s="14">
        <v>1</v>
      </c>
      <c r="I33" s="3" t="s">
        <v>66</v>
      </c>
      <c r="J33" s="19" t="s">
        <v>64</v>
      </c>
    </row>
    <row r="34" spans="1:10" ht="15" customHeight="1" x14ac:dyDescent="0.3">
      <c r="A34" s="7" t="s">
        <v>28</v>
      </c>
      <c r="B34" s="14">
        <v>1.2</v>
      </c>
      <c r="C34" s="3" t="s">
        <v>79</v>
      </c>
      <c r="D34" s="19" t="s">
        <v>64</v>
      </c>
      <c r="E34" s="14">
        <v>1.2</v>
      </c>
      <c r="F34" s="3" t="s">
        <v>79</v>
      </c>
      <c r="G34" s="19" t="s">
        <v>64</v>
      </c>
      <c r="H34" s="14">
        <v>1.21</v>
      </c>
      <c r="I34" s="3" t="s">
        <v>126</v>
      </c>
      <c r="J34" s="19" t="s">
        <v>64</v>
      </c>
    </row>
    <row r="35" spans="1:10" ht="15" customHeight="1" x14ac:dyDescent="0.3">
      <c r="A35" s="7" t="s">
        <v>29</v>
      </c>
      <c r="B35" s="14">
        <v>1.08</v>
      </c>
      <c r="C35" s="3" t="s">
        <v>80</v>
      </c>
      <c r="D35" s="19" t="s">
        <v>64</v>
      </c>
      <c r="E35" s="14">
        <v>1.08</v>
      </c>
      <c r="F35" s="3" t="s">
        <v>81</v>
      </c>
      <c r="G35" s="19" t="s">
        <v>64</v>
      </c>
      <c r="H35" s="14">
        <v>1.08</v>
      </c>
      <c r="I35" s="3" t="s">
        <v>81</v>
      </c>
      <c r="J35" s="19" t="s">
        <v>64</v>
      </c>
    </row>
    <row r="36" spans="1:10" ht="15" customHeight="1" x14ac:dyDescent="0.3">
      <c r="A36" s="7" t="s">
        <v>30</v>
      </c>
      <c r="B36" s="14">
        <v>1.08</v>
      </c>
      <c r="C36" s="3" t="s">
        <v>81</v>
      </c>
      <c r="D36" s="19" t="s">
        <v>64</v>
      </c>
      <c r="E36" s="14">
        <v>1.08</v>
      </c>
      <c r="F36" s="3" t="s">
        <v>81</v>
      </c>
      <c r="G36" s="19" t="s">
        <v>64</v>
      </c>
      <c r="H36" s="14">
        <v>1.06</v>
      </c>
      <c r="I36" s="3" t="s">
        <v>127</v>
      </c>
      <c r="J36" s="19" t="s">
        <v>64</v>
      </c>
    </row>
    <row r="37" spans="1:10" ht="15" customHeight="1" x14ac:dyDescent="0.3">
      <c r="A37" s="7" t="s">
        <v>31</v>
      </c>
      <c r="B37" s="14">
        <v>1.1299999999999999</v>
      </c>
      <c r="C37" s="3" t="s">
        <v>82</v>
      </c>
      <c r="D37" s="19" t="s">
        <v>64</v>
      </c>
      <c r="E37" s="14">
        <v>1.1299999999999999</v>
      </c>
      <c r="F37" s="3" t="s">
        <v>82</v>
      </c>
      <c r="G37" s="19" t="s">
        <v>64</v>
      </c>
      <c r="H37" s="14">
        <v>1.0900000000000001</v>
      </c>
      <c r="I37" s="3" t="s">
        <v>128</v>
      </c>
      <c r="J37" s="19" t="s">
        <v>64</v>
      </c>
    </row>
    <row r="38" spans="1:10" ht="15" customHeight="1" x14ac:dyDescent="0.3">
      <c r="A38" s="7" t="s">
        <v>32</v>
      </c>
      <c r="B38" s="14" t="s">
        <v>64</v>
      </c>
      <c r="C38" s="3" t="s">
        <v>64</v>
      </c>
      <c r="D38" s="19" t="s">
        <v>91</v>
      </c>
      <c r="E38" s="14" t="s">
        <v>64</v>
      </c>
      <c r="F38" s="3" t="s">
        <v>64</v>
      </c>
      <c r="G38" s="19" t="s">
        <v>91</v>
      </c>
      <c r="H38" s="14" t="s">
        <v>64</v>
      </c>
      <c r="I38" s="3" t="s">
        <v>64</v>
      </c>
      <c r="J38" s="19" t="s">
        <v>91</v>
      </c>
    </row>
    <row r="39" spans="1:10" ht="15" customHeight="1" x14ac:dyDescent="0.3">
      <c r="A39" s="7" t="s">
        <v>33</v>
      </c>
      <c r="B39" s="14">
        <v>1</v>
      </c>
      <c r="C39" s="3" t="s">
        <v>66</v>
      </c>
      <c r="D39" s="19" t="s">
        <v>64</v>
      </c>
      <c r="E39" s="14">
        <v>1</v>
      </c>
      <c r="F39" s="3" t="s">
        <v>66</v>
      </c>
      <c r="G39" s="19" t="s">
        <v>64</v>
      </c>
      <c r="H39" s="14">
        <v>1</v>
      </c>
      <c r="I39" s="3" t="s">
        <v>66</v>
      </c>
      <c r="J39" s="19" t="s">
        <v>64</v>
      </c>
    </row>
    <row r="40" spans="1:10" ht="15" customHeight="1" x14ac:dyDescent="0.3">
      <c r="A40" s="7" t="s">
        <v>34</v>
      </c>
      <c r="B40" s="14">
        <v>0.94</v>
      </c>
      <c r="C40" s="3" t="s">
        <v>83</v>
      </c>
      <c r="D40" s="19" t="s">
        <v>64</v>
      </c>
      <c r="E40" s="14">
        <v>0.93</v>
      </c>
      <c r="F40" s="3" t="s">
        <v>101</v>
      </c>
      <c r="G40" s="19" t="s">
        <v>64</v>
      </c>
      <c r="H40" s="14">
        <v>0.92</v>
      </c>
      <c r="I40" s="3" t="s">
        <v>129</v>
      </c>
      <c r="J40" s="19" t="s">
        <v>64</v>
      </c>
    </row>
    <row r="41" spans="1:10" ht="15" customHeight="1" x14ac:dyDescent="0.3">
      <c r="A41" s="7" t="s">
        <v>35</v>
      </c>
      <c r="B41" s="14">
        <v>1.22</v>
      </c>
      <c r="C41" s="3" t="s">
        <v>84</v>
      </c>
      <c r="D41" s="19" t="s">
        <v>64</v>
      </c>
      <c r="E41" s="14">
        <v>1.2</v>
      </c>
      <c r="F41" s="3" t="s">
        <v>102</v>
      </c>
      <c r="G41" s="19" t="s">
        <v>64</v>
      </c>
      <c r="H41" s="14">
        <v>1.21</v>
      </c>
      <c r="I41" s="3" t="s">
        <v>130</v>
      </c>
      <c r="J41" s="19" t="s">
        <v>64</v>
      </c>
    </row>
    <row r="42" spans="1:10" ht="15" customHeight="1" x14ac:dyDescent="0.3">
      <c r="A42" s="7" t="s">
        <v>36</v>
      </c>
      <c r="B42" s="14">
        <v>1.32</v>
      </c>
      <c r="C42" s="3" t="s">
        <v>85</v>
      </c>
      <c r="D42" s="19" t="s">
        <v>64</v>
      </c>
      <c r="E42" s="14">
        <v>1.28</v>
      </c>
      <c r="F42" s="3" t="s">
        <v>103</v>
      </c>
      <c r="G42" s="19" t="s">
        <v>64</v>
      </c>
      <c r="H42" s="14">
        <v>1.31</v>
      </c>
      <c r="I42" s="3" t="s">
        <v>131</v>
      </c>
      <c r="J42" s="19" t="s">
        <v>64</v>
      </c>
    </row>
    <row r="43" spans="1:10" ht="15" customHeight="1" x14ac:dyDescent="0.3">
      <c r="A43" s="7" t="s">
        <v>37</v>
      </c>
      <c r="B43" s="14">
        <v>1.55</v>
      </c>
      <c r="C43" s="3" t="s">
        <v>86</v>
      </c>
      <c r="D43" s="19" t="s">
        <v>64</v>
      </c>
      <c r="E43" s="14">
        <v>1.51</v>
      </c>
      <c r="F43" s="3" t="s">
        <v>104</v>
      </c>
      <c r="G43" s="19" t="s">
        <v>64</v>
      </c>
      <c r="H43" s="14">
        <v>1.48</v>
      </c>
      <c r="I43" s="3" t="s">
        <v>132</v>
      </c>
      <c r="J43" s="19" t="s">
        <v>64</v>
      </c>
    </row>
    <row r="44" spans="1:10" ht="15" customHeight="1" x14ac:dyDescent="0.3">
      <c r="A44" s="7" t="s">
        <v>38</v>
      </c>
      <c r="B44" s="14">
        <v>1.74</v>
      </c>
      <c r="C44" s="3" t="s">
        <v>87</v>
      </c>
      <c r="D44" s="19" t="s">
        <v>64</v>
      </c>
      <c r="E44" s="14">
        <v>1.68</v>
      </c>
      <c r="F44" s="3" t="s">
        <v>105</v>
      </c>
      <c r="G44" s="19" t="s">
        <v>64</v>
      </c>
      <c r="H44" s="14">
        <v>1.7</v>
      </c>
      <c r="I44" s="3" t="s">
        <v>133</v>
      </c>
      <c r="J44" s="19" t="s">
        <v>64</v>
      </c>
    </row>
    <row r="45" spans="1:10" ht="15" customHeight="1" x14ac:dyDescent="0.3">
      <c r="A45" s="7" t="s">
        <v>39</v>
      </c>
      <c r="B45" s="14" t="s">
        <v>64</v>
      </c>
      <c r="C45" s="3" t="s">
        <v>64</v>
      </c>
      <c r="D45" s="19">
        <v>0.86099999999999999</v>
      </c>
      <c r="E45" s="14" t="s">
        <v>64</v>
      </c>
      <c r="F45" s="3" t="s">
        <v>64</v>
      </c>
      <c r="G45" s="19">
        <v>0.36699999999999999</v>
      </c>
      <c r="H45" s="14" t="s">
        <v>64</v>
      </c>
      <c r="I45" s="3" t="s">
        <v>64</v>
      </c>
      <c r="J45" s="19">
        <v>0.83399999999999996</v>
      </c>
    </row>
    <row r="46" spans="1:10" ht="15" customHeight="1" x14ac:dyDescent="0.3">
      <c r="A46" s="7" t="s">
        <v>11</v>
      </c>
      <c r="B46" s="14">
        <v>1</v>
      </c>
      <c r="C46" s="3" t="s">
        <v>66</v>
      </c>
      <c r="D46" s="19" t="s">
        <v>64</v>
      </c>
      <c r="E46" s="14">
        <v>1</v>
      </c>
      <c r="F46" s="3" t="s">
        <v>66</v>
      </c>
      <c r="G46" s="19" t="s">
        <v>64</v>
      </c>
      <c r="H46" s="14">
        <v>1</v>
      </c>
      <c r="I46" s="3" t="s">
        <v>66</v>
      </c>
      <c r="J46" s="19" t="s">
        <v>64</v>
      </c>
    </row>
    <row r="47" spans="1:10" ht="15" customHeight="1" x14ac:dyDescent="0.3">
      <c r="A47" s="7" t="s">
        <v>40</v>
      </c>
      <c r="B47" s="14">
        <v>0.99</v>
      </c>
      <c r="C47" s="3" t="s">
        <v>88</v>
      </c>
      <c r="D47" s="19" t="s">
        <v>64</v>
      </c>
      <c r="E47" s="14">
        <v>0.96</v>
      </c>
      <c r="F47" s="3" t="s">
        <v>106</v>
      </c>
      <c r="G47" s="19" t="s">
        <v>64</v>
      </c>
      <c r="H47" s="14">
        <v>1.01</v>
      </c>
      <c r="I47" s="3" t="s">
        <v>134</v>
      </c>
      <c r="J47" s="19" t="s">
        <v>64</v>
      </c>
    </row>
    <row r="48" spans="1:10" ht="15" customHeight="1" x14ac:dyDescent="0.3">
      <c r="A48" s="7" t="s">
        <v>41</v>
      </c>
      <c r="B48" s="14">
        <v>1</v>
      </c>
      <c r="C48" s="3" t="s">
        <v>89</v>
      </c>
      <c r="D48" s="19">
        <v>4.1000000000000002E-2</v>
      </c>
      <c r="E48" s="14">
        <v>1</v>
      </c>
      <c r="F48" s="3" t="s">
        <v>89</v>
      </c>
      <c r="G48" s="19">
        <v>4.2000000000000003E-2</v>
      </c>
      <c r="H48" s="14">
        <v>1</v>
      </c>
      <c r="I48" s="3" t="s">
        <v>89</v>
      </c>
      <c r="J48" s="19">
        <v>0.13800000000000001</v>
      </c>
    </row>
    <row r="49" spans="1:10" ht="15" customHeight="1" x14ac:dyDescent="0.3">
      <c r="A49" s="7" t="s">
        <v>42</v>
      </c>
      <c r="B49" s="14" t="s">
        <v>64</v>
      </c>
      <c r="C49" s="3" t="s">
        <v>64</v>
      </c>
      <c r="D49" s="19" t="s">
        <v>64</v>
      </c>
      <c r="E49" s="14">
        <v>0.94</v>
      </c>
      <c r="F49" s="3" t="s">
        <v>107</v>
      </c>
      <c r="G49" s="19">
        <v>0.30099999999999999</v>
      </c>
      <c r="H49" s="14">
        <v>0.96</v>
      </c>
      <c r="I49" s="3" t="s">
        <v>135</v>
      </c>
      <c r="J49" s="19">
        <v>0.47299999999999998</v>
      </c>
    </row>
    <row r="50" spans="1:10" ht="15" customHeight="1" x14ac:dyDescent="0.3">
      <c r="A50" s="7" t="s">
        <v>43</v>
      </c>
      <c r="B50" s="14" t="s">
        <v>64</v>
      </c>
      <c r="C50" s="3" t="s">
        <v>64</v>
      </c>
      <c r="D50" s="19" t="s">
        <v>64</v>
      </c>
      <c r="E50" s="14">
        <v>0.99</v>
      </c>
      <c r="F50" s="3" t="s">
        <v>108</v>
      </c>
      <c r="G50" s="19">
        <v>3.5000000000000003E-2</v>
      </c>
      <c r="H50" s="14">
        <v>0.99</v>
      </c>
      <c r="I50" s="3" t="s">
        <v>108</v>
      </c>
      <c r="J50" s="19">
        <v>5.0000000000000001E-3</v>
      </c>
    </row>
    <row r="51" spans="1:10" ht="15" customHeight="1" x14ac:dyDescent="0.3">
      <c r="A51" s="7" t="s">
        <v>44</v>
      </c>
      <c r="B51" s="14" t="s">
        <v>64</v>
      </c>
      <c r="C51" s="3" t="s">
        <v>64</v>
      </c>
      <c r="D51" s="19" t="s">
        <v>64</v>
      </c>
      <c r="E51" s="14">
        <v>1.01</v>
      </c>
      <c r="F51" s="3" t="s">
        <v>109</v>
      </c>
      <c r="G51" s="19">
        <v>7.5999999999999998E-2</v>
      </c>
      <c r="H51" s="14">
        <v>1.01</v>
      </c>
      <c r="I51" s="3" t="s">
        <v>109</v>
      </c>
      <c r="J51" s="19">
        <v>0.1</v>
      </c>
    </row>
    <row r="52" spans="1:10" ht="15" customHeight="1" x14ac:dyDescent="0.3">
      <c r="A52" s="7" t="s">
        <v>45</v>
      </c>
      <c r="B52" s="14" t="s">
        <v>64</v>
      </c>
      <c r="C52" s="3" t="s">
        <v>64</v>
      </c>
      <c r="D52" s="19" t="s">
        <v>64</v>
      </c>
      <c r="E52" s="14">
        <v>0.99</v>
      </c>
      <c r="F52" s="3" t="s">
        <v>108</v>
      </c>
      <c r="G52" s="19">
        <v>3.1E-2</v>
      </c>
      <c r="H52" s="14">
        <v>0.99</v>
      </c>
      <c r="I52" s="3" t="s">
        <v>108</v>
      </c>
      <c r="J52" s="19">
        <v>1.7000000000000001E-2</v>
      </c>
    </row>
    <row r="53" spans="1:10" ht="15" customHeight="1" x14ac:dyDescent="0.3">
      <c r="A53" s="7" t="s">
        <v>46</v>
      </c>
      <c r="B53" s="14" t="s">
        <v>64</v>
      </c>
      <c r="C53" s="3" t="s">
        <v>64</v>
      </c>
      <c r="D53" s="19" t="s">
        <v>64</v>
      </c>
      <c r="E53" s="14">
        <v>1</v>
      </c>
      <c r="F53" s="3" t="s">
        <v>110</v>
      </c>
      <c r="G53" s="19">
        <v>0.59699999999999998</v>
      </c>
      <c r="H53" s="14">
        <v>1.01</v>
      </c>
      <c r="I53" s="3" t="s">
        <v>110</v>
      </c>
      <c r="J53" s="19">
        <v>0.495</v>
      </c>
    </row>
    <row r="54" spans="1:10" ht="15" customHeight="1" x14ac:dyDescent="0.3">
      <c r="A54" s="7" t="s">
        <v>47</v>
      </c>
      <c r="B54" s="14" t="s">
        <v>64</v>
      </c>
      <c r="C54" s="3" t="s">
        <v>64</v>
      </c>
      <c r="D54" s="19" t="s">
        <v>64</v>
      </c>
      <c r="E54" s="14">
        <v>1</v>
      </c>
      <c r="F54" s="3" t="s">
        <v>111</v>
      </c>
      <c r="G54" s="19">
        <v>0.83699999999999997</v>
      </c>
      <c r="H54" s="14">
        <v>1</v>
      </c>
      <c r="I54" s="3" t="s">
        <v>111</v>
      </c>
      <c r="J54" s="19">
        <v>0.55700000000000005</v>
      </c>
    </row>
    <row r="55" spans="1:10" ht="15" customHeight="1" x14ac:dyDescent="0.3">
      <c r="A55" s="7" t="s">
        <v>48</v>
      </c>
      <c r="B55" s="14" t="s">
        <v>64</v>
      </c>
      <c r="C55" s="3" t="s">
        <v>64</v>
      </c>
      <c r="D55" s="19" t="s">
        <v>64</v>
      </c>
      <c r="E55" s="14">
        <v>0.94</v>
      </c>
      <c r="F55" s="3" t="s">
        <v>112</v>
      </c>
      <c r="G55" s="19">
        <v>0.20300000000000001</v>
      </c>
      <c r="H55" s="14">
        <v>0.9</v>
      </c>
      <c r="I55" s="3" t="s">
        <v>136</v>
      </c>
      <c r="J55" s="19">
        <v>2.8000000000000001E-2</v>
      </c>
    </row>
    <row r="56" spans="1:10" ht="15" customHeight="1" x14ac:dyDescent="0.3">
      <c r="A56" s="7" t="s">
        <v>49</v>
      </c>
      <c r="B56" s="14" t="s">
        <v>64</v>
      </c>
      <c r="C56" s="3" t="s">
        <v>64</v>
      </c>
      <c r="D56" s="19" t="s">
        <v>64</v>
      </c>
      <c r="E56" s="14">
        <v>1.01</v>
      </c>
      <c r="F56" s="3" t="s">
        <v>113</v>
      </c>
      <c r="G56" s="19">
        <v>0.47499999999999998</v>
      </c>
      <c r="H56" s="14">
        <v>1.02</v>
      </c>
      <c r="I56" s="3" t="s">
        <v>137</v>
      </c>
      <c r="J56" s="19">
        <v>0.107</v>
      </c>
    </row>
    <row r="57" spans="1:10" ht="15" customHeight="1" x14ac:dyDescent="0.3">
      <c r="A57" s="7" t="s">
        <v>50</v>
      </c>
      <c r="B57" s="14" t="s">
        <v>64</v>
      </c>
      <c r="C57" s="3" t="s">
        <v>64</v>
      </c>
      <c r="D57" s="19" t="s">
        <v>64</v>
      </c>
      <c r="E57" s="14" t="s">
        <v>64</v>
      </c>
      <c r="F57" s="3" t="s">
        <v>64</v>
      </c>
      <c r="G57" s="19" t="s">
        <v>64</v>
      </c>
      <c r="H57" s="14" t="s">
        <v>64</v>
      </c>
      <c r="I57" s="3" t="s">
        <v>64</v>
      </c>
      <c r="J57" s="19">
        <v>7.4999999999999997E-2</v>
      </c>
    </row>
    <row r="58" spans="1:10" ht="15" customHeight="1" x14ac:dyDescent="0.3">
      <c r="A58" s="7" t="s">
        <v>51</v>
      </c>
      <c r="B58" s="14" t="s">
        <v>64</v>
      </c>
      <c r="C58" s="3" t="s">
        <v>64</v>
      </c>
      <c r="D58" s="19" t="s">
        <v>64</v>
      </c>
      <c r="E58" s="14" t="s">
        <v>64</v>
      </c>
      <c r="F58" s="3" t="s">
        <v>64</v>
      </c>
      <c r="G58" s="19" t="s">
        <v>64</v>
      </c>
      <c r="H58" s="14">
        <v>1</v>
      </c>
      <c r="I58" s="3" t="s">
        <v>66</v>
      </c>
      <c r="J58" s="19" t="s">
        <v>64</v>
      </c>
    </row>
    <row r="59" spans="1:10" ht="15" customHeight="1" x14ac:dyDescent="0.3">
      <c r="A59" s="7" t="s">
        <v>52</v>
      </c>
      <c r="B59" s="14" t="s">
        <v>64</v>
      </c>
      <c r="C59" s="3" t="s">
        <v>64</v>
      </c>
      <c r="D59" s="19" t="s">
        <v>64</v>
      </c>
      <c r="E59" s="14" t="s">
        <v>64</v>
      </c>
      <c r="F59" s="3" t="s">
        <v>64</v>
      </c>
      <c r="G59" s="19" t="s">
        <v>64</v>
      </c>
      <c r="H59" s="14">
        <v>1.1299999999999999</v>
      </c>
      <c r="I59" s="3" t="s">
        <v>138</v>
      </c>
      <c r="J59" s="19" t="s">
        <v>64</v>
      </c>
    </row>
    <row r="60" spans="1:10" ht="15" customHeight="1" x14ac:dyDescent="0.3">
      <c r="A60" s="7" t="s">
        <v>53</v>
      </c>
      <c r="B60" s="14" t="s">
        <v>64</v>
      </c>
      <c r="C60" s="3" t="s">
        <v>64</v>
      </c>
      <c r="D60" s="19" t="s">
        <v>64</v>
      </c>
      <c r="E60" s="14" t="s">
        <v>64</v>
      </c>
      <c r="F60" s="3" t="s">
        <v>64</v>
      </c>
      <c r="G60" s="19" t="s">
        <v>64</v>
      </c>
      <c r="H60" s="14" t="s">
        <v>64</v>
      </c>
      <c r="I60" s="3" t="s">
        <v>64</v>
      </c>
      <c r="J60" s="19" t="s">
        <v>91</v>
      </c>
    </row>
    <row r="61" spans="1:10" ht="15" customHeight="1" x14ac:dyDescent="0.3">
      <c r="A61" s="7" t="s">
        <v>51</v>
      </c>
      <c r="B61" s="14" t="s">
        <v>64</v>
      </c>
      <c r="C61" s="3" t="s">
        <v>64</v>
      </c>
      <c r="D61" s="19" t="s">
        <v>64</v>
      </c>
      <c r="E61" s="14" t="s">
        <v>64</v>
      </c>
      <c r="F61" s="3" t="s">
        <v>64</v>
      </c>
      <c r="G61" s="19" t="s">
        <v>64</v>
      </c>
      <c r="H61" s="14">
        <v>1</v>
      </c>
      <c r="I61" s="3" t="s">
        <v>66</v>
      </c>
      <c r="J61" s="19" t="s">
        <v>64</v>
      </c>
    </row>
    <row r="62" spans="1:10" ht="15" customHeight="1" x14ac:dyDescent="0.3">
      <c r="A62" s="7" t="s">
        <v>52</v>
      </c>
      <c r="B62" s="14" t="s">
        <v>64</v>
      </c>
      <c r="C62" s="3" t="s">
        <v>64</v>
      </c>
      <c r="D62" s="19" t="s">
        <v>64</v>
      </c>
      <c r="E62" s="14" t="s">
        <v>64</v>
      </c>
      <c r="F62" s="3" t="s">
        <v>64</v>
      </c>
      <c r="G62" s="19" t="s">
        <v>64</v>
      </c>
      <c r="H62" s="14">
        <v>2.0099999999999998</v>
      </c>
      <c r="I62" s="3" t="s">
        <v>139</v>
      </c>
      <c r="J62" s="19" t="s">
        <v>64</v>
      </c>
    </row>
    <row r="63" spans="1:10" ht="15" customHeight="1" x14ac:dyDescent="0.3">
      <c r="A63" s="7" t="s">
        <v>54</v>
      </c>
      <c r="B63" s="14" t="s">
        <v>64</v>
      </c>
      <c r="C63" s="3" t="s">
        <v>64</v>
      </c>
      <c r="D63" s="19" t="s">
        <v>64</v>
      </c>
      <c r="E63" s="14" t="s">
        <v>64</v>
      </c>
      <c r="F63" s="3" t="s">
        <v>64</v>
      </c>
      <c r="G63" s="19" t="s">
        <v>64</v>
      </c>
      <c r="H63" s="14" t="s">
        <v>64</v>
      </c>
      <c r="I63" s="3" t="s">
        <v>64</v>
      </c>
      <c r="J63" s="19" t="s">
        <v>91</v>
      </c>
    </row>
    <row r="64" spans="1:10" ht="15" customHeight="1" x14ac:dyDescent="0.3">
      <c r="A64" s="7" t="s">
        <v>51</v>
      </c>
      <c r="B64" s="14" t="s">
        <v>64</v>
      </c>
      <c r="C64" s="3" t="s">
        <v>64</v>
      </c>
      <c r="D64" s="19" t="s">
        <v>64</v>
      </c>
      <c r="E64" s="14" t="s">
        <v>64</v>
      </c>
      <c r="F64" s="3" t="s">
        <v>64</v>
      </c>
      <c r="G64" s="19" t="s">
        <v>64</v>
      </c>
      <c r="H64" s="14">
        <v>1</v>
      </c>
      <c r="I64" s="3" t="s">
        <v>66</v>
      </c>
      <c r="J64" s="19" t="s">
        <v>64</v>
      </c>
    </row>
    <row r="65" spans="1:10" ht="15" customHeight="1" x14ac:dyDescent="0.3">
      <c r="A65" s="7" t="s">
        <v>52</v>
      </c>
      <c r="B65" s="14" t="s">
        <v>64</v>
      </c>
      <c r="C65" s="3" t="s">
        <v>64</v>
      </c>
      <c r="D65" s="19" t="s">
        <v>64</v>
      </c>
      <c r="E65" s="14" t="s">
        <v>64</v>
      </c>
      <c r="F65" s="3" t="s">
        <v>64</v>
      </c>
      <c r="G65" s="19" t="s">
        <v>64</v>
      </c>
      <c r="H65" s="14">
        <v>1.49</v>
      </c>
      <c r="I65" s="3" t="s">
        <v>140</v>
      </c>
      <c r="J65" s="19" t="s">
        <v>64</v>
      </c>
    </row>
    <row r="66" spans="1:10" ht="15" customHeight="1" x14ac:dyDescent="0.3">
      <c r="A66" s="7" t="s">
        <v>55</v>
      </c>
      <c r="B66" s="14" t="s">
        <v>64</v>
      </c>
      <c r="C66" s="3" t="s">
        <v>64</v>
      </c>
      <c r="D66" s="19" t="s">
        <v>64</v>
      </c>
      <c r="E66" s="14" t="s">
        <v>64</v>
      </c>
      <c r="F66" s="3" t="s">
        <v>64</v>
      </c>
      <c r="G66" s="19" t="s">
        <v>64</v>
      </c>
      <c r="H66" s="14" t="s">
        <v>64</v>
      </c>
      <c r="I66" s="3" t="s">
        <v>64</v>
      </c>
      <c r="J66" s="19" t="s">
        <v>91</v>
      </c>
    </row>
    <row r="67" spans="1:10" ht="15" customHeight="1" x14ac:dyDescent="0.3">
      <c r="A67" s="7" t="s">
        <v>51</v>
      </c>
      <c r="B67" s="14" t="s">
        <v>64</v>
      </c>
      <c r="C67" s="3" t="s">
        <v>64</v>
      </c>
      <c r="D67" s="19" t="s">
        <v>64</v>
      </c>
      <c r="E67" s="14" t="s">
        <v>64</v>
      </c>
      <c r="F67" s="3" t="s">
        <v>64</v>
      </c>
      <c r="G67" s="19" t="s">
        <v>64</v>
      </c>
      <c r="H67" s="14">
        <v>1</v>
      </c>
      <c r="I67" s="3" t="s">
        <v>66</v>
      </c>
      <c r="J67" s="19" t="s">
        <v>64</v>
      </c>
    </row>
    <row r="68" spans="1:10" ht="15" customHeight="1" x14ac:dyDescent="0.3">
      <c r="A68" s="7" t="s">
        <v>52</v>
      </c>
      <c r="B68" s="14" t="s">
        <v>64</v>
      </c>
      <c r="C68" s="3" t="s">
        <v>64</v>
      </c>
      <c r="D68" s="19" t="s">
        <v>64</v>
      </c>
      <c r="E68" s="14" t="s">
        <v>64</v>
      </c>
      <c r="F68" s="3" t="s">
        <v>64</v>
      </c>
      <c r="G68" s="19" t="s">
        <v>64</v>
      </c>
      <c r="H68" s="14">
        <v>1.25</v>
      </c>
      <c r="I68" s="3" t="s">
        <v>141</v>
      </c>
      <c r="J68" s="19" t="s">
        <v>64</v>
      </c>
    </row>
    <row r="69" spans="1:10" ht="15" customHeight="1" x14ac:dyDescent="0.3">
      <c r="A69" s="7" t="s">
        <v>56</v>
      </c>
      <c r="B69" s="14" t="s">
        <v>64</v>
      </c>
      <c r="C69" s="3" t="s">
        <v>64</v>
      </c>
      <c r="D69" s="19" t="s">
        <v>64</v>
      </c>
      <c r="E69" s="14" t="s">
        <v>64</v>
      </c>
      <c r="F69" s="3" t="s">
        <v>64</v>
      </c>
      <c r="G69" s="19" t="s">
        <v>64</v>
      </c>
      <c r="H69" s="14" t="s">
        <v>64</v>
      </c>
      <c r="I69" s="3" t="s">
        <v>64</v>
      </c>
      <c r="J69" s="19" t="s">
        <v>91</v>
      </c>
    </row>
    <row r="70" spans="1:10" ht="15" customHeight="1" x14ac:dyDescent="0.3">
      <c r="A70" s="7" t="s">
        <v>51</v>
      </c>
      <c r="B70" s="14" t="s">
        <v>64</v>
      </c>
      <c r="C70" s="3" t="s">
        <v>64</v>
      </c>
      <c r="D70" s="19" t="s">
        <v>64</v>
      </c>
      <c r="E70" s="14" t="s">
        <v>64</v>
      </c>
      <c r="F70" s="3" t="s">
        <v>64</v>
      </c>
      <c r="G70" s="19" t="s">
        <v>64</v>
      </c>
      <c r="H70" s="14">
        <v>1</v>
      </c>
      <c r="I70" s="3" t="s">
        <v>66</v>
      </c>
      <c r="J70" s="19" t="s">
        <v>64</v>
      </c>
    </row>
    <row r="71" spans="1:10" ht="15" customHeight="1" x14ac:dyDescent="0.3">
      <c r="A71" s="7" t="s">
        <v>52</v>
      </c>
      <c r="B71" s="14" t="s">
        <v>64</v>
      </c>
      <c r="C71" s="3" t="s">
        <v>64</v>
      </c>
      <c r="D71" s="19" t="s">
        <v>64</v>
      </c>
      <c r="E71" s="14" t="s">
        <v>64</v>
      </c>
      <c r="F71" s="3" t="s">
        <v>64</v>
      </c>
      <c r="G71" s="19" t="s">
        <v>64</v>
      </c>
      <c r="H71" s="14">
        <v>1.31</v>
      </c>
      <c r="I71" s="3" t="s">
        <v>142</v>
      </c>
      <c r="J71" s="19" t="s">
        <v>64</v>
      </c>
    </row>
    <row r="72" spans="1:10" ht="15" customHeight="1" x14ac:dyDescent="0.3">
      <c r="A72" s="7" t="s">
        <v>57</v>
      </c>
      <c r="B72" s="14" t="s">
        <v>64</v>
      </c>
      <c r="C72" s="3" t="s">
        <v>64</v>
      </c>
      <c r="D72" s="19" t="s">
        <v>64</v>
      </c>
      <c r="E72" s="14" t="s">
        <v>64</v>
      </c>
      <c r="F72" s="3" t="s">
        <v>64</v>
      </c>
      <c r="G72" s="19" t="s">
        <v>64</v>
      </c>
      <c r="H72" s="14" t="s">
        <v>64</v>
      </c>
      <c r="I72" s="3" t="s">
        <v>64</v>
      </c>
      <c r="J72" s="19" t="s">
        <v>91</v>
      </c>
    </row>
    <row r="73" spans="1:10" ht="15" customHeight="1" x14ac:dyDescent="0.3">
      <c r="A73" s="7" t="s">
        <v>51</v>
      </c>
      <c r="B73" s="14" t="s">
        <v>64</v>
      </c>
      <c r="C73" s="3" t="s">
        <v>64</v>
      </c>
      <c r="D73" s="19" t="s">
        <v>64</v>
      </c>
      <c r="E73" s="14" t="s">
        <v>64</v>
      </c>
      <c r="F73" s="3" t="s">
        <v>64</v>
      </c>
      <c r="G73" s="19" t="s">
        <v>64</v>
      </c>
      <c r="H73" s="14">
        <v>1</v>
      </c>
      <c r="I73" s="3" t="s">
        <v>66</v>
      </c>
      <c r="J73" s="19" t="s">
        <v>64</v>
      </c>
    </row>
    <row r="74" spans="1:10" ht="15" customHeight="1" x14ac:dyDescent="0.3">
      <c r="A74" s="7" t="s">
        <v>52</v>
      </c>
      <c r="B74" s="14" t="s">
        <v>64</v>
      </c>
      <c r="C74" s="3" t="s">
        <v>64</v>
      </c>
      <c r="D74" s="19" t="s">
        <v>64</v>
      </c>
      <c r="E74" s="14" t="s">
        <v>64</v>
      </c>
      <c r="F74" s="3" t="s">
        <v>64</v>
      </c>
      <c r="G74" s="19" t="s">
        <v>64</v>
      </c>
      <c r="H74" s="14">
        <v>1.28</v>
      </c>
      <c r="I74" s="3" t="s">
        <v>143</v>
      </c>
      <c r="J74" s="19" t="s">
        <v>64</v>
      </c>
    </row>
    <row r="75" spans="1:10" ht="15" customHeight="1" x14ac:dyDescent="0.3">
      <c r="A75" s="7" t="s">
        <v>58</v>
      </c>
      <c r="B75" s="14" t="s">
        <v>64</v>
      </c>
      <c r="C75" s="3" t="s">
        <v>64</v>
      </c>
      <c r="D75" s="19" t="s">
        <v>64</v>
      </c>
      <c r="E75" s="14" t="s">
        <v>64</v>
      </c>
      <c r="F75" s="3" t="s">
        <v>64</v>
      </c>
      <c r="G75" s="19" t="s">
        <v>64</v>
      </c>
      <c r="H75" s="14" t="s">
        <v>64</v>
      </c>
      <c r="I75" s="3" t="s">
        <v>64</v>
      </c>
      <c r="J75" s="19">
        <v>0.04</v>
      </c>
    </row>
    <row r="76" spans="1:10" ht="15" customHeight="1" x14ac:dyDescent="0.3">
      <c r="A76" s="7" t="s">
        <v>51</v>
      </c>
      <c r="B76" s="14" t="s">
        <v>64</v>
      </c>
      <c r="C76" s="3" t="s">
        <v>64</v>
      </c>
      <c r="D76" s="19" t="s">
        <v>64</v>
      </c>
      <c r="E76" s="14" t="s">
        <v>64</v>
      </c>
      <c r="F76" s="3" t="s">
        <v>64</v>
      </c>
      <c r="G76" s="19" t="s">
        <v>64</v>
      </c>
      <c r="H76" s="14">
        <v>1</v>
      </c>
      <c r="I76" s="3" t="s">
        <v>66</v>
      </c>
      <c r="J76" s="19" t="s">
        <v>64</v>
      </c>
    </row>
    <row r="77" spans="1:10" ht="15" customHeight="1" x14ac:dyDescent="0.3">
      <c r="A77" s="7" t="s">
        <v>52</v>
      </c>
      <c r="B77" s="14" t="s">
        <v>64</v>
      </c>
      <c r="C77" s="3" t="s">
        <v>64</v>
      </c>
      <c r="D77" s="19" t="s">
        <v>64</v>
      </c>
      <c r="E77" s="14" t="s">
        <v>64</v>
      </c>
      <c r="F77" s="3" t="s">
        <v>64</v>
      </c>
      <c r="G77" s="19" t="s">
        <v>64</v>
      </c>
      <c r="H77" s="14">
        <v>1.27</v>
      </c>
      <c r="I77" s="3" t="s">
        <v>144</v>
      </c>
      <c r="J77" s="19" t="s">
        <v>64</v>
      </c>
    </row>
    <row r="78" spans="1:10" ht="15" customHeight="1" x14ac:dyDescent="0.3">
      <c r="A78" s="7" t="s">
        <v>59</v>
      </c>
      <c r="B78" s="14" t="s">
        <v>64</v>
      </c>
      <c r="C78" s="3" t="s">
        <v>64</v>
      </c>
      <c r="D78" s="19" t="s">
        <v>64</v>
      </c>
      <c r="E78" s="14" t="s">
        <v>64</v>
      </c>
      <c r="F78" s="3" t="s">
        <v>64</v>
      </c>
      <c r="G78" s="19" t="s">
        <v>64</v>
      </c>
      <c r="H78" s="14" t="s">
        <v>64</v>
      </c>
      <c r="I78" s="3" t="s">
        <v>64</v>
      </c>
      <c r="J78" s="19" t="s">
        <v>91</v>
      </c>
    </row>
    <row r="79" spans="1:10" ht="15" customHeight="1" x14ac:dyDescent="0.3">
      <c r="A79" s="7" t="s">
        <v>51</v>
      </c>
      <c r="B79" s="14" t="s">
        <v>64</v>
      </c>
      <c r="C79" s="3" t="s">
        <v>64</v>
      </c>
      <c r="D79" s="19" t="s">
        <v>64</v>
      </c>
      <c r="E79" s="14" t="s">
        <v>64</v>
      </c>
      <c r="F79" s="3" t="s">
        <v>64</v>
      </c>
      <c r="G79" s="19" t="s">
        <v>64</v>
      </c>
      <c r="H79" s="14">
        <v>1</v>
      </c>
      <c r="I79" s="3" t="s">
        <v>66</v>
      </c>
      <c r="J79" s="19" t="s">
        <v>64</v>
      </c>
    </row>
    <row r="80" spans="1:10" ht="15" customHeight="1" x14ac:dyDescent="0.3">
      <c r="A80" s="7" t="s">
        <v>52</v>
      </c>
      <c r="B80" s="14" t="s">
        <v>64</v>
      </c>
      <c r="C80" s="3" t="s">
        <v>64</v>
      </c>
      <c r="D80" s="19" t="s">
        <v>64</v>
      </c>
      <c r="E80" s="14" t="s">
        <v>64</v>
      </c>
      <c r="F80" s="3" t="s">
        <v>64</v>
      </c>
      <c r="G80" s="19" t="s">
        <v>64</v>
      </c>
      <c r="H80" s="14">
        <v>1.24</v>
      </c>
      <c r="I80" s="3" t="s">
        <v>145</v>
      </c>
      <c r="J80" s="19" t="s">
        <v>64</v>
      </c>
    </row>
    <row r="81" spans="1:10" ht="15" customHeight="1" x14ac:dyDescent="0.3">
      <c r="A81" s="7" t="s">
        <v>60</v>
      </c>
      <c r="B81" s="14" t="s">
        <v>64</v>
      </c>
      <c r="C81" s="3" t="s">
        <v>64</v>
      </c>
      <c r="D81" s="19" t="s">
        <v>64</v>
      </c>
      <c r="E81" s="14" t="s">
        <v>64</v>
      </c>
      <c r="F81" s="3" t="s">
        <v>64</v>
      </c>
      <c r="G81" s="19" t="s">
        <v>64</v>
      </c>
      <c r="H81" s="14" t="s">
        <v>64</v>
      </c>
      <c r="I81" s="3" t="s">
        <v>64</v>
      </c>
      <c r="J81" s="19">
        <v>5.0000000000000001E-3</v>
      </c>
    </row>
    <row r="82" spans="1:10" ht="15" customHeight="1" x14ac:dyDescent="0.3">
      <c r="A82" s="7" t="s">
        <v>51</v>
      </c>
      <c r="B82" s="14" t="s">
        <v>64</v>
      </c>
      <c r="C82" s="3" t="s">
        <v>64</v>
      </c>
      <c r="D82" s="19" t="s">
        <v>64</v>
      </c>
      <c r="E82" s="14" t="s">
        <v>64</v>
      </c>
      <c r="F82" s="3" t="s">
        <v>64</v>
      </c>
      <c r="G82" s="19" t="s">
        <v>64</v>
      </c>
      <c r="H82" s="14">
        <v>1</v>
      </c>
      <c r="I82" s="3" t="s">
        <v>66</v>
      </c>
      <c r="J82" s="19" t="s">
        <v>64</v>
      </c>
    </row>
    <row r="83" spans="1:10" ht="15" customHeight="1" x14ac:dyDescent="0.3">
      <c r="A83" s="10" t="s">
        <v>52</v>
      </c>
      <c r="B83" s="15" t="s">
        <v>64</v>
      </c>
      <c r="C83" s="4" t="s">
        <v>64</v>
      </c>
      <c r="D83" s="20" t="s">
        <v>64</v>
      </c>
      <c r="E83" s="15" t="s">
        <v>64</v>
      </c>
      <c r="F83" s="4" t="s">
        <v>64</v>
      </c>
      <c r="G83" s="20" t="s">
        <v>64</v>
      </c>
      <c r="H83" s="15">
        <v>1.18</v>
      </c>
      <c r="I83" s="4" t="s">
        <v>146</v>
      </c>
      <c r="J83" s="20" t="s">
        <v>64</v>
      </c>
    </row>
    <row r="84" spans="1:10" ht="15" customHeight="1" x14ac:dyDescent="0.3">
      <c r="A84" s="5" t="s">
        <v>61</v>
      </c>
      <c r="B84" s="5" t="s">
        <v>61</v>
      </c>
      <c r="C84" s="5" t="s">
        <v>61</v>
      </c>
      <c r="D84" s="5" t="s">
        <v>61</v>
      </c>
      <c r="E84" s="5" t="s">
        <v>61</v>
      </c>
      <c r="F84" s="5" t="s">
        <v>61</v>
      </c>
      <c r="G84" s="5" t="s">
        <v>61</v>
      </c>
      <c r="H84" s="5" t="s">
        <v>61</v>
      </c>
      <c r="I84" s="5" t="s">
        <v>61</v>
      </c>
      <c r="J84" s="5" t="s">
        <v>61</v>
      </c>
    </row>
  </sheetData>
  <mergeCells count="4">
    <mergeCell ref="A84:J84"/>
    <mergeCell ref="B6:D6"/>
    <mergeCell ref="E6:G6"/>
    <mergeCell ref="H6:J6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DF2F-C526-4152-A9F9-BC7AE9918E35}">
  <dimension ref="B1:R18"/>
  <sheetViews>
    <sheetView zoomScale="130" zoomScaleNormal="130" workbookViewId="0">
      <selection activeCell="O16" sqref="O16"/>
    </sheetView>
  </sheetViews>
  <sheetFormatPr defaultRowHeight="14.4" x14ac:dyDescent="0.3"/>
  <cols>
    <col min="2" max="2" width="0" hidden="1" customWidth="1"/>
    <col min="3" max="3" width="17.77734375" hidden="1" customWidth="1"/>
    <col min="4" max="12" width="0" hidden="1" customWidth="1"/>
    <col min="13" max="13" width="21" bestFit="1" customWidth="1"/>
    <col min="14" max="14" width="21" customWidth="1"/>
    <col min="15" max="18" width="16.77734375" customWidth="1"/>
  </cols>
  <sheetData>
    <row r="1" spans="2:18" x14ac:dyDescent="0.3">
      <c r="M1" s="11" t="s">
        <v>175</v>
      </c>
    </row>
    <row r="2" spans="2:18" x14ac:dyDescent="0.3">
      <c r="B2" t="s">
        <v>151</v>
      </c>
      <c r="C2" t="s">
        <v>152</v>
      </c>
      <c r="D2" t="s">
        <v>153</v>
      </c>
      <c r="E2" t="s">
        <v>154</v>
      </c>
      <c r="F2" t="s">
        <v>155</v>
      </c>
      <c r="M2" s="24"/>
      <c r="N2" s="30" t="s">
        <v>168</v>
      </c>
      <c r="O2" s="31"/>
      <c r="P2" s="31"/>
      <c r="Q2" s="31"/>
      <c r="R2" s="31"/>
    </row>
    <row r="3" spans="2:18" ht="15" thickBot="1" x14ac:dyDescent="0.35">
      <c r="B3" t="s">
        <v>156</v>
      </c>
      <c r="C3" t="s">
        <v>157</v>
      </c>
      <c r="D3" s="21">
        <v>0.998</v>
      </c>
      <c r="E3" s="21">
        <v>0.94399999999999995</v>
      </c>
      <c r="F3" s="21">
        <v>1.06</v>
      </c>
      <c r="G3" t="str">
        <f>TEXT(ROUND(D3, 2), "0.00")</f>
        <v>1.00</v>
      </c>
      <c r="H3" t="str">
        <f t="shared" ref="H3:I3" si="0">TEXT(ROUND(E3, 2), "0.00")</f>
        <v>0.94</v>
      </c>
      <c r="I3" t="str">
        <f t="shared" si="0"/>
        <v>1.06</v>
      </c>
      <c r="J3" t="str">
        <f>_xlfn.CONCAT(G3," (",H3, " ,", I3,")")</f>
        <v>1.00 (0.94 ,1.06)</v>
      </c>
      <c r="M3" s="26" t="s">
        <v>167</v>
      </c>
      <c r="N3" s="27" t="s">
        <v>173</v>
      </c>
      <c r="O3" s="27" t="s">
        <v>169</v>
      </c>
      <c r="P3" s="27" t="s">
        <v>170</v>
      </c>
      <c r="Q3" s="27" t="s">
        <v>171</v>
      </c>
      <c r="R3" s="27" t="s">
        <v>172</v>
      </c>
    </row>
    <row r="4" spans="2:18" ht="15" thickTop="1" x14ac:dyDescent="0.3">
      <c r="B4" t="s">
        <v>156</v>
      </c>
      <c r="C4" t="s">
        <v>158</v>
      </c>
      <c r="D4" s="21">
        <v>0.98699999999999999</v>
      </c>
      <c r="E4" s="21">
        <v>0.93</v>
      </c>
      <c r="F4" s="21">
        <v>1.05</v>
      </c>
      <c r="G4" t="str">
        <f t="shared" ref="G4:G18" si="1">TEXT(ROUND(D4, 2), "0.00")</f>
        <v>0.99</v>
      </c>
      <c r="H4" t="str">
        <f t="shared" ref="H4:H18" si="2">TEXT(ROUND(E4, 2), "0.00")</f>
        <v>0.93</v>
      </c>
      <c r="I4" t="str">
        <f t="shared" ref="I4:I18" si="3">TEXT(ROUND(F4, 2), "0.00")</f>
        <v>1.05</v>
      </c>
      <c r="J4" t="str">
        <f t="shared" ref="J4:J18" si="4">_xlfn.CONCAT(G4," (",H4, " ,", I4,")")</f>
        <v>0.99 (0.93 ,1.05)</v>
      </c>
      <c r="M4" s="25">
        <v>0</v>
      </c>
      <c r="N4" s="29" t="s">
        <v>174</v>
      </c>
      <c r="O4" s="23" t="str">
        <f>J3</f>
        <v>1.00 (0.94 ,1.06)</v>
      </c>
      <c r="P4" s="23" t="str">
        <f>J4</f>
        <v>0.99 (0.93 ,1.05)</v>
      </c>
      <c r="Q4" s="28" t="str">
        <f>J5</f>
        <v>0.92 (0.86 ,0.98)</v>
      </c>
      <c r="R4" s="23" t="str">
        <f>J6</f>
        <v>0.97 (0.90 ,1.04)</v>
      </c>
    </row>
    <row r="5" spans="2:18" x14ac:dyDescent="0.3">
      <c r="B5" t="s">
        <v>156</v>
      </c>
      <c r="C5" t="s">
        <v>159</v>
      </c>
      <c r="D5" s="21">
        <v>0.91900000000000004</v>
      </c>
      <c r="E5" s="21">
        <v>0.86099999999999999</v>
      </c>
      <c r="F5" s="21">
        <v>0.98099999999999998</v>
      </c>
      <c r="G5" t="str">
        <f t="shared" si="1"/>
        <v>0.92</v>
      </c>
      <c r="H5" t="str">
        <f t="shared" si="2"/>
        <v>0.86</v>
      </c>
      <c r="I5" t="str">
        <f t="shared" si="3"/>
        <v>0.98</v>
      </c>
      <c r="J5" t="str">
        <f t="shared" si="4"/>
        <v>0.92 (0.86 ,0.98)</v>
      </c>
      <c r="M5" s="25">
        <v>10</v>
      </c>
      <c r="N5" s="29" t="s">
        <v>174</v>
      </c>
      <c r="O5" s="23" t="str">
        <f>J7</f>
        <v>0.97 (0.92 ,1.02)</v>
      </c>
      <c r="P5" s="23" t="str">
        <f>J8</f>
        <v>0.96 (0.91 ,1.02)</v>
      </c>
      <c r="Q5" s="28" t="str">
        <f>J9</f>
        <v>0.89 (0.83 ,0.94)</v>
      </c>
      <c r="R5" s="23" t="str">
        <f>J10</f>
        <v>0.93 (0.87 ,1.00)</v>
      </c>
    </row>
    <row r="6" spans="2:18" x14ac:dyDescent="0.3">
      <c r="B6" t="s">
        <v>156</v>
      </c>
      <c r="C6" t="s">
        <v>160</v>
      </c>
      <c r="D6" s="21">
        <v>0.96799999999999997</v>
      </c>
      <c r="E6" s="21">
        <v>0.89700000000000002</v>
      </c>
      <c r="F6" s="21">
        <v>1.04</v>
      </c>
      <c r="G6" t="str">
        <f t="shared" si="1"/>
        <v>0.97</v>
      </c>
      <c r="H6" t="str">
        <f t="shared" si="2"/>
        <v>0.90</v>
      </c>
      <c r="I6" t="str">
        <f t="shared" si="3"/>
        <v>1.04</v>
      </c>
      <c r="J6" t="str">
        <f t="shared" si="4"/>
        <v>0.97 (0.90 ,1.04)</v>
      </c>
      <c r="M6" s="25">
        <v>30</v>
      </c>
      <c r="N6" s="29" t="s">
        <v>174</v>
      </c>
      <c r="O6" s="28" t="str">
        <f>J11</f>
        <v>0.90 (0.83 ,0.98)</v>
      </c>
      <c r="P6" s="28" t="str">
        <f>J12</f>
        <v>0.92 (0.85 ,0.99)</v>
      </c>
      <c r="Q6" s="28" t="str">
        <f>J13</f>
        <v>0.82 (0.76 ,0.89)</v>
      </c>
      <c r="R6" s="28" t="str">
        <f>J14</f>
        <v>0.87 (0.81 ,0.94)</v>
      </c>
    </row>
    <row r="7" spans="2:18" x14ac:dyDescent="0.3">
      <c r="B7" t="s">
        <v>161</v>
      </c>
      <c r="C7" t="s">
        <v>157</v>
      </c>
      <c r="D7" s="21">
        <v>0.96499999999999997</v>
      </c>
      <c r="E7" s="21">
        <v>0.91600000000000004</v>
      </c>
      <c r="F7" s="21">
        <v>1.02</v>
      </c>
      <c r="G7" t="str">
        <f t="shared" si="1"/>
        <v>0.97</v>
      </c>
      <c r="H7" t="str">
        <f t="shared" si="2"/>
        <v>0.92</v>
      </c>
      <c r="I7" t="str">
        <f t="shared" si="3"/>
        <v>1.02</v>
      </c>
      <c r="J7" t="str">
        <f t="shared" si="4"/>
        <v>0.97 (0.92 ,1.02)</v>
      </c>
      <c r="M7" s="25">
        <v>100</v>
      </c>
      <c r="N7" s="29" t="s">
        <v>174</v>
      </c>
      <c r="O7" s="28" t="str">
        <f>J15</f>
        <v>0.72 (0.56 ,0.92)</v>
      </c>
      <c r="P7" s="28" t="str">
        <f>J16</f>
        <v>0.77 (0.61 ,0.96)</v>
      </c>
      <c r="Q7" s="28" t="str">
        <f>J17</f>
        <v>0.63 (0.51 ,0.79)</v>
      </c>
      <c r="R7" s="28" t="str">
        <f>J18</f>
        <v>0.68 (0.55 ,0.85)</v>
      </c>
    </row>
    <row r="8" spans="2:18" x14ac:dyDescent="0.3">
      <c r="B8" t="s">
        <v>161</v>
      </c>
      <c r="C8" t="s">
        <v>158</v>
      </c>
      <c r="D8" s="21">
        <v>0.96299999999999997</v>
      </c>
      <c r="E8" s="21">
        <v>0.91100000000000003</v>
      </c>
      <c r="F8" s="21">
        <v>1.02</v>
      </c>
      <c r="G8" t="str">
        <f t="shared" si="1"/>
        <v>0.96</v>
      </c>
      <c r="H8" t="str">
        <f t="shared" si="2"/>
        <v>0.91</v>
      </c>
      <c r="I8" t="str">
        <f t="shared" si="3"/>
        <v>1.02</v>
      </c>
      <c r="J8" t="str">
        <f t="shared" si="4"/>
        <v>0.96 (0.91 ,1.02)</v>
      </c>
    </row>
    <row r="9" spans="2:18" x14ac:dyDescent="0.3">
      <c r="B9" t="s">
        <v>161</v>
      </c>
      <c r="C9" t="s">
        <v>159</v>
      </c>
      <c r="D9" s="21">
        <v>0.88500000000000001</v>
      </c>
      <c r="E9" s="21">
        <v>0.83399999999999996</v>
      </c>
      <c r="F9" s="21">
        <v>0.93899999999999995</v>
      </c>
      <c r="G9" t="str">
        <f t="shared" si="1"/>
        <v>0.89</v>
      </c>
      <c r="H9" t="str">
        <f t="shared" si="2"/>
        <v>0.83</v>
      </c>
      <c r="I9" t="str">
        <f t="shared" si="3"/>
        <v>0.94</v>
      </c>
      <c r="J9" t="str">
        <f t="shared" si="4"/>
        <v>0.89 (0.83 ,0.94)</v>
      </c>
    </row>
    <row r="10" spans="2:18" x14ac:dyDescent="0.3">
      <c r="B10" t="s">
        <v>161</v>
      </c>
      <c r="C10" t="s">
        <v>160</v>
      </c>
      <c r="D10" s="21">
        <v>0.93400000000000005</v>
      </c>
      <c r="E10" s="21">
        <v>0.872</v>
      </c>
      <c r="F10" s="21">
        <v>1</v>
      </c>
      <c r="G10" t="str">
        <f t="shared" si="1"/>
        <v>0.93</v>
      </c>
      <c r="H10" t="str">
        <f t="shared" si="2"/>
        <v>0.87</v>
      </c>
      <c r="I10" t="str">
        <f t="shared" si="3"/>
        <v>1.00</v>
      </c>
      <c r="J10" t="str">
        <f t="shared" si="4"/>
        <v>0.93 (0.87 ,1.00)</v>
      </c>
    </row>
    <row r="11" spans="2:18" x14ac:dyDescent="0.3">
      <c r="B11" t="s">
        <v>162</v>
      </c>
      <c r="C11" t="s">
        <v>157</v>
      </c>
      <c r="D11" s="21">
        <v>0.90300000000000002</v>
      </c>
      <c r="E11" s="21">
        <v>0.83399999999999996</v>
      </c>
      <c r="F11" s="21">
        <v>0.97699999999999998</v>
      </c>
      <c r="G11" t="str">
        <f t="shared" si="1"/>
        <v>0.90</v>
      </c>
      <c r="H11" t="str">
        <f t="shared" si="2"/>
        <v>0.83</v>
      </c>
      <c r="I11" t="str">
        <f t="shared" si="3"/>
        <v>0.98</v>
      </c>
      <c r="J11" t="str">
        <f t="shared" si="4"/>
        <v>0.90 (0.83 ,0.98)</v>
      </c>
    </row>
    <row r="12" spans="2:18" x14ac:dyDescent="0.3">
      <c r="B12" t="s">
        <v>162</v>
      </c>
      <c r="C12" t="s">
        <v>158</v>
      </c>
      <c r="D12" s="21">
        <v>0.91500000000000004</v>
      </c>
      <c r="E12" s="21">
        <v>0.85</v>
      </c>
      <c r="F12" s="21">
        <v>0.98599999999999999</v>
      </c>
      <c r="G12" t="str">
        <f t="shared" si="1"/>
        <v>0.92</v>
      </c>
      <c r="H12" t="str">
        <f t="shared" si="2"/>
        <v>0.85</v>
      </c>
      <c r="I12" t="str">
        <f t="shared" si="3"/>
        <v>0.99</v>
      </c>
      <c r="J12" t="str">
        <f t="shared" si="4"/>
        <v>0.92 (0.85 ,0.99)</v>
      </c>
    </row>
    <row r="13" spans="2:18" x14ac:dyDescent="0.3">
      <c r="B13" t="s">
        <v>162</v>
      </c>
      <c r="C13" t="s">
        <v>159</v>
      </c>
      <c r="D13" s="21">
        <v>0.82099999999999995</v>
      </c>
      <c r="E13" s="21">
        <v>0.76100000000000001</v>
      </c>
      <c r="F13" s="21">
        <v>0.88500000000000001</v>
      </c>
      <c r="G13" t="str">
        <f t="shared" si="1"/>
        <v>0.82</v>
      </c>
      <c r="H13" t="str">
        <f t="shared" si="2"/>
        <v>0.76</v>
      </c>
      <c r="I13" t="str">
        <f t="shared" si="3"/>
        <v>0.89</v>
      </c>
      <c r="J13" t="str">
        <f t="shared" si="4"/>
        <v>0.82 (0.76 ,0.89)</v>
      </c>
    </row>
    <row r="14" spans="2:18" x14ac:dyDescent="0.3">
      <c r="B14" t="s">
        <v>162</v>
      </c>
      <c r="C14" t="s">
        <v>160</v>
      </c>
      <c r="D14" s="21">
        <v>0.871</v>
      </c>
      <c r="E14" s="21">
        <v>0.80600000000000005</v>
      </c>
      <c r="F14" s="21">
        <v>0.94199999999999995</v>
      </c>
      <c r="G14" t="str">
        <f t="shared" si="1"/>
        <v>0.87</v>
      </c>
      <c r="H14" t="str">
        <f t="shared" si="2"/>
        <v>0.81</v>
      </c>
      <c r="I14" t="str">
        <f t="shared" si="3"/>
        <v>0.94</v>
      </c>
      <c r="J14" t="str">
        <f t="shared" si="4"/>
        <v>0.87 (0.81 ,0.94)</v>
      </c>
    </row>
    <row r="15" spans="2:18" x14ac:dyDescent="0.3">
      <c r="B15" t="s">
        <v>163</v>
      </c>
      <c r="C15" t="s">
        <v>157</v>
      </c>
      <c r="D15" s="21">
        <v>0.71499999999999997</v>
      </c>
      <c r="E15" s="21">
        <v>0.55500000000000005</v>
      </c>
      <c r="F15" s="21">
        <v>0.92100000000000004</v>
      </c>
      <c r="G15" t="str">
        <f t="shared" si="1"/>
        <v>0.72</v>
      </c>
      <c r="H15" t="str">
        <f t="shared" si="2"/>
        <v>0.56</v>
      </c>
      <c r="I15" t="str">
        <f t="shared" si="3"/>
        <v>0.92</v>
      </c>
      <c r="J15" t="str">
        <f t="shared" si="4"/>
        <v>0.72 (0.56 ,0.92)</v>
      </c>
    </row>
    <row r="16" spans="2:18" x14ac:dyDescent="0.3">
      <c r="B16" t="s">
        <v>164</v>
      </c>
      <c r="C16" t="s">
        <v>158</v>
      </c>
      <c r="D16" s="21">
        <v>0.76700000000000002</v>
      </c>
      <c r="E16" s="21">
        <v>0.61099999999999999</v>
      </c>
      <c r="F16" s="21">
        <v>0.96299999999999997</v>
      </c>
      <c r="G16" t="str">
        <f t="shared" si="1"/>
        <v>0.77</v>
      </c>
      <c r="H16" t="str">
        <f t="shared" si="2"/>
        <v>0.61</v>
      </c>
      <c r="I16" t="str">
        <f t="shared" si="3"/>
        <v>0.96</v>
      </c>
      <c r="J16" t="str">
        <f t="shared" si="4"/>
        <v>0.77 (0.61 ,0.96)</v>
      </c>
    </row>
    <row r="17" spans="2:10" x14ac:dyDescent="0.3">
      <c r="B17" t="s">
        <v>165</v>
      </c>
      <c r="C17" t="s">
        <v>159</v>
      </c>
      <c r="D17" s="21">
        <v>0.63100000000000001</v>
      </c>
      <c r="E17" s="21">
        <v>0.505</v>
      </c>
      <c r="F17" s="21">
        <v>0.78800000000000003</v>
      </c>
      <c r="G17" t="str">
        <f t="shared" si="1"/>
        <v>0.63</v>
      </c>
      <c r="H17" t="str">
        <f t="shared" si="2"/>
        <v>0.51</v>
      </c>
      <c r="I17" t="str">
        <f t="shared" si="3"/>
        <v>0.79</v>
      </c>
      <c r="J17" t="str">
        <f t="shared" si="4"/>
        <v>0.63 (0.51 ,0.79)</v>
      </c>
    </row>
    <row r="18" spans="2:10" x14ac:dyDescent="0.3">
      <c r="B18" t="s">
        <v>166</v>
      </c>
      <c r="C18" t="s">
        <v>160</v>
      </c>
      <c r="D18" s="21">
        <v>0.68200000000000005</v>
      </c>
      <c r="E18" s="21">
        <v>0.55000000000000004</v>
      </c>
      <c r="F18" s="21">
        <v>0.84599999999999997</v>
      </c>
      <c r="G18" t="str">
        <f t="shared" si="1"/>
        <v>0.68</v>
      </c>
      <c r="H18" t="str">
        <f t="shared" si="2"/>
        <v>0.55</v>
      </c>
      <c r="I18" t="str">
        <f t="shared" si="3"/>
        <v>0.85</v>
      </c>
      <c r="J18" t="str">
        <f t="shared" si="4"/>
        <v>0.68 (0.55 ,0.85)</v>
      </c>
    </row>
  </sheetData>
  <mergeCells count="1">
    <mergeCell ref="N2:R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Egg x Meat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2026-01-15T18:11:33Z</dcterms:created>
  <dcterms:modified xsi:type="dcterms:W3CDTF">2026-01-15T19:18:21Z</dcterms:modified>
</cp:coreProperties>
</file>